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08C0D0-D260-4961-B99C-8259E53B1370}" xr6:coauthVersionLast="47" xr6:coauthVersionMax="47" xr10:uidLastSave="{00000000-0000-0000-0000-000000000000}"/>
  <bookViews>
    <workbookView xWindow="-108" yWindow="-108" windowWidth="23256" windowHeight="12456" xr2:uid="{10115184-4DE9-4C74-AD7E-AD63A6243BD9}"/>
  </bookViews>
  <sheets>
    <sheet name="엘리어트" sheetId="1" r:id="rId1"/>
    <sheet name="목표" sheetId="3" r:id="rId2"/>
    <sheet name="ETN" sheetId="2" r:id="rId3"/>
  </sheets>
  <definedNames>
    <definedName name="_xlnm._FilterDatabase" localSheetId="0" hidden="1">엘리어트!$B$3:$K$28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" i="3" l="1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D4" i="3" l="1"/>
  <c r="D10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G6" i="3" l="1"/>
  <c r="G7" i="3"/>
  <c r="G8" i="3"/>
  <c r="G9" i="3"/>
  <c r="G10" i="3"/>
  <c r="G11" i="3"/>
  <c r="H11" i="3" s="1"/>
  <c r="D11" i="3" s="1"/>
  <c r="G12" i="3"/>
  <c r="H12" i="3" s="1"/>
  <c r="D12" i="3" s="1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5" i="3"/>
  <c r="H5" i="3" s="1"/>
  <c r="D5" i="3" s="1"/>
  <c r="H9" i="3" l="1"/>
  <c r="D9" i="3" s="1"/>
  <c r="H8" i="3"/>
  <c r="D8" i="3" s="1"/>
  <c r="H7" i="3"/>
  <c r="D7" i="3" s="1"/>
  <c r="H6" i="3"/>
  <c r="D6" i="3" s="1"/>
  <c r="I4" i="3"/>
  <c r="I5" i="3" l="1"/>
  <c r="L1" i="1"/>
  <c r="I6" i="3"/>
  <c r="I7" i="3"/>
  <c r="I12" i="3"/>
  <c r="I18" i="3"/>
  <c r="I19" i="3"/>
  <c r="I26" i="3"/>
  <c r="I13" i="3"/>
  <c r="I17" i="3"/>
  <c r="I9" i="3"/>
  <c r="I14" i="3"/>
  <c r="I20" i="3"/>
  <c r="I21" i="3"/>
  <c r="I22" i="3"/>
  <c r="I27" i="3"/>
  <c r="I25" i="3"/>
  <c r="I10" i="3"/>
  <c r="I11" i="3"/>
  <c r="I23" i="3"/>
  <c r="I24" i="3"/>
  <c r="I15" i="3"/>
  <c r="I16" i="3"/>
  <c r="I8" i="3"/>
</calcChain>
</file>

<file path=xl/sharedStrings.xml><?xml version="1.0" encoding="utf-8"?>
<sst xmlns="http://schemas.openxmlformats.org/spreadsheetml/2006/main" count="114" uniqueCount="94">
  <si>
    <t>일</t>
    <phoneticPr fontId="1" type="noConversion"/>
  </si>
  <si>
    <t>주</t>
    <phoneticPr fontId="1" type="noConversion"/>
  </si>
  <si>
    <t>월</t>
    <phoneticPr fontId="1" type="noConversion"/>
  </si>
  <si>
    <t>OBV</t>
    <phoneticPr fontId="1" type="noConversion"/>
  </si>
  <si>
    <t>엘리어트</t>
    <phoneticPr fontId="1" type="noConversion"/>
  </si>
  <si>
    <t>비고</t>
    <phoneticPr fontId="1" type="noConversion"/>
  </si>
  <si>
    <t>에코마케팅</t>
    <phoneticPr fontId="1" type="noConversion"/>
  </si>
  <si>
    <t>오이솔루션</t>
    <phoneticPr fontId="1" type="noConversion"/>
  </si>
  <si>
    <t>넷마블</t>
    <phoneticPr fontId="1" type="noConversion"/>
  </si>
  <si>
    <t>JYP Ent</t>
    <phoneticPr fontId="1" type="noConversion"/>
  </si>
  <si>
    <t>더블유게임즈</t>
    <phoneticPr fontId="1" type="noConversion"/>
  </si>
  <si>
    <t>LG생활건강</t>
    <phoneticPr fontId="1" type="noConversion"/>
  </si>
  <si>
    <t>더존비즈온</t>
    <phoneticPr fontId="1" type="noConversion"/>
  </si>
  <si>
    <t>오리온</t>
    <phoneticPr fontId="1" type="noConversion"/>
  </si>
  <si>
    <t>펄어비스</t>
    <phoneticPr fontId="1" type="noConversion"/>
  </si>
  <si>
    <t>메가스터디교육</t>
    <phoneticPr fontId="1" type="noConversion"/>
  </si>
  <si>
    <t>업종</t>
    <phoneticPr fontId="1" type="noConversion"/>
  </si>
  <si>
    <t>클래시스</t>
    <phoneticPr fontId="1" type="noConversion"/>
  </si>
  <si>
    <t>엔씨소프트</t>
    <phoneticPr fontId="1" type="noConversion"/>
  </si>
  <si>
    <t>SK텔레콤</t>
    <phoneticPr fontId="1" type="noConversion"/>
  </si>
  <si>
    <t>삼성전자</t>
    <phoneticPr fontId="1" type="noConversion"/>
  </si>
  <si>
    <t>스튜디오드래곤</t>
    <phoneticPr fontId="1" type="noConversion"/>
  </si>
  <si>
    <t>CJ ENM</t>
    <phoneticPr fontId="1" type="noConversion"/>
  </si>
  <si>
    <t>삼성SDI</t>
    <phoneticPr fontId="1" type="noConversion"/>
  </si>
  <si>
    <t>반도체</t>
    <phoneticPr fontId="1" type="noConversion"/>
  </si>
  <si>
    <t>광고</t>
    <phoneticPr fontId="1" type="noConversion"/>
  </si>
  <si>
    <t>게임</t>
    <phoneticPr fontId="1" type="noConversion"/>
  </si>
  <si>
    <t>소프트웨어</t>
    <phoneticPr fontId="1" type="noConversion"/>
  </si>
  <si>
    <t>미스터블루</t>
    <phoneticPr fontId="1" type="noConversion"/>
  </si>
  <si>
    <t>출판</t>
    <phoneticPr fontId="1" type="noConversion"/>
  </si>
  <si>
    <t>화장품</t>
    <phoneticPr fontId="1" type="noConversion"/>
  </si>
  <si>
    <t>방송</t>
    <phoneticPr fontId="1" type="noConversion"/>
  </si>
  <si>
    <t>식품</t>
    <phoneticPr fontId="1" type="noConversion"/>
  </si>
  <si>
    <t>교육</t>
    <phoneticPr fontId="1" type="noConversion"/>
  </si>
  <si>
    <t>미용</t>
    <phoneticPr fontId="1" type="noConversion"/>
  </si>
  <si>
    <t>무선</t>
    <phoneticPr fontId="1" type="noConversion"/>
  </si>
  <si>
    <t>솔루션</t>
    <phoneticPr fontId="1" type="noConversion"/>
  </si>
  <si>
    <t>전기제품</t>
    <phoneticPr fontId="1" type="noConversion"/>
  </si>
  <si>
    <t>종목</t>
    <phoneticPr fontId="1" type="noConversion"/>
  </si>
  <si>
    <t>사람인에이치알</t>
    <phoneticPr fontId="1" type="noConversion"/>
  </si>
  <si>
    <t>SNK</t>
    <phoneticPr fontId="1" type="noConversion"/>
  </si>
  <si>
    <t>1~10</t>
    <phoneticPr fontId="1" type="noConversion"/>
  </si>
  <si>
    <t>1상승 10 하락</t>
    <phoneticPr fontId="1" type="noConversion"/>
  </si>
  <si>
    <t>분</t>
    <phoneticPr fontId="1" type="noConversion"/>
  </si>
  <si>
    <t>채용</t>
    <phoneticPr fontId="1" type="noConversion"/>
  </si>
  <si>
    <t>원익 IPS</t>
    <phoneticPr fontId="1" type="noConversion"/>
  </si>
  <si>
    <t>화학</t>
    <phoneticPr fontId="1" type="noConversion"/>
  </si>
  <si>
    <t>LG화학</t>
    <phoneticPr fontId="1" type="noConversion"/>
  </si>
  <si>
    <t>일진다이아</t>
    <phoneticPr fontId="1" type="noConversion"/>
  </si>
  <si>
    <t>목표수익</t>
    <phoneticPr fontId="1" type="noConversion"/>
  </si>
  <si>
    <t>달성률</t>
    <phoneticPr fontId="1" type="noConversion"/>
  </si>
  <si>
    <t>시드</t>
    <phoneticPr fontId="1" type="noConversion"/>
  </si>
  <si>
    <r>
      <rPr>
        <b/>
        <i/>
        <u/>
        <sz val="10"/>
        <color rgb="FFFF0010"/>
        <rFont val="맑은 고딕"/>
        <family val="3"/>
        <charset val="129"/>
      </rPr>
      <t>첫째</t>
    </r>
    <r>
      <rPr>
        <b/>
        <i/>
        <u/>
        <sz val="10"/>
        <color rgb="FFFF0010"/>
        <rFont val="Arial"/>
        <family val="2"/>
      </rPr>
      <t>,   2</t>
    </r>
    <r>
      <rPr>
        <b/>
        <i/>
        <u/>
        <sz val="10"/>
        <color rgb="FFFF0010"/>
        <rFont val="맑은 고딕"/>
        <family val="3"/>
        <charset val="129"/>
      </rPr>
      <t>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파동은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절대로</t>
    </r>
    <r>
      <rPr>
        <b/>
        <i/>
        <u/>
        <sz val="10"/>
        <color rgb="FFFF0010"/>
        <rFont val="Arial"/>
        <family val="2"/>
      </rPr>
      <t xml:space="preserve"> 1</t>
    </r>
    <r>
      <rPr>
        <b/>
        <i/>
        <u/>
        <sz val="10"/>
        <color rgb="FFFF0010"/>
        <rFont val="맑은 고딕"/>
        <family val="3"/>
        <charset val="129"/>
      </rPr>
      <t>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파동의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출발점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이하로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내려가서는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된다</t>
    </r>
    <r>
      <rPr>
        <b/>
        <i/>
        <u/>
        <sz val="10"/>
        <color rgb="FFFF0010"/>
        <rFont val="Arial"/>
        <family val="2"/>
      </rPr>
      <t>.</t>
    </r>
    <phoneticPr fontId="1" type="noConversion"/>
  </si>
  <si>
    <r>
      <rPr>
        <b/>
        <i/>
        <u/>
        <sz val="10"/>
        <color rgb="FFFF0010"/>
        <rFont val="맑은 고딕"/>
        <family val="3"/>
        <charset val="129"/>
      </rPr>
      <t>셋째</t>
    </r>
    <r>
      <rPr>
        <b/>
        <i/>
        <u/>
        <sz val="10"/>
        <color rgb="FFFF0010"/>
        <rFont val="Arial"/>
        <family val="2"/>
      </rPr>
      <t>,   4</t>
    </r>
    <r>
      <rPr>
        <b/>
        <i/>
        <u/>
        <sz val="10"/>
        <color rgb="FFFF0010"/>
        <rFont val="맑은 고딕"/>
        <family val="3"/>
        <charset val="129"/>
      </rPr>
      <t>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파동은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절대로</t>
    </r>
    <r>
      <rPr>
        <b/>
        <i/>
        <u/>
        <sz val="10"/>
        <color rgb="FFFF0010"/>
        <rFont val="Arial"/>
        <family val="2"/>
      </rPr>
      <t xml:space="preserve"> 1</t>
    </r>
    <r>
      <rPr>
        <b/>
        <i/>
        <u/>
        <sz val="10"/>
        <color rgb="FFFF0010"/>
        <rFont val="맑은 고딕"/>
        <family val="3"/>
        <charset val="129"/>
      </rPr>
      <t>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파동과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겹칠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수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없다</t>
    </r>
    <r>
      <rPr>
        <b/>
        <i/>
        <u/>
        <sz val="10"/>
        <color rgb="FFFF0010"/>
        <rFont val="Arial"/>
        <family val="2"/>
      </rPr>
      <t>.</t>
    </r>
    <phoneticPr fontId="1" type="noConversion"/>
  </si>
  <si>
    <r>
      <rPr>
        <b/>
        <i/>
        <u/>
        <sz val="10"/>
        <color rgb="FFFF0010"/>
        <rFont val="맑은 고딕"/>
        <family val="3"/>
        <charset val="129"/>
      </rPr>
      <t>둘째</t>
    </r>
    <r>
      <rPr>
        <b/>
        <i/>
        <u/>
        <sz val="10"/>
        <color rgb="FFFF0010"/>
        <rFont val="Arial"/>
        <family val="2"/>
      </rPr>
      <t xml:space="preserve">,  </t>
    </r>
    <r>
      <rPr>
        <b/>
        <i/>
        <u/>
        <sz val="10"/>
        <color rgb="FFFF0010"/>
        <rFont val="맑은 고딕"/>
        <family val="3"/>
        <charset val="129"/>
      </rPr>
      <t>충격파동</t>
    </r>
    <r>
      <rPr>
        <b/>
        <i/>
        <u/>
        <sz val="10"/>
        <color rgb="FFFF0010"/>
        <rFont val="Arial"/>
        <family val="2"/>
      </rPr>
      <t xml:space="preserve"> 3</t>
    </r>
    <r>
      <rPr>
        <b/>
        <i/>
        <u/>
        <sz val="10"/>
        <color rgb="FFFF0010"/>
        <rFont val="맑은 고딕"/>
        <family val="3"/>
        <charset val="129"/>
      </rPr>
      <t>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파동은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절대로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가장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짧은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파동이어서는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안</t>
    </r>
    <r>
      <rPr>
        <b/>
        <i/>
        <u/>
        <sz val="10"/>
        <color rgb="FFFF0010"/>
        <rFont val="Arial"/>
        <family val="2"/>
      </rPr>
      <t xml:space="preserve"> </t>
    </r>
    <r>
      <rPr>
        <b/>
        <i/>
        <u/>
        <sz val="10"/>
        <color rgb="FFFF0010"/>
        <rFont val="맑은 고딕"/>
        <family val="3"/>
        <charset val="129"/>
      </rPr>
      <t>된다</t>
    </r>
    <r>
      <rPr>
        <b/>
        <i/>
        <u/>
        <sz val="10"/>
        <color rgb="FFFF0010"/>
        <rFont val="Arial"/>
        <family val="2"/>
      </rPr>
      <t>.</t>
    </r>
    <phoneticPr fontId="1" type="noConversion"/>
  </si>
  <si>
    <t>현재</t>
    <phoneticPr fontId="1" type="noConversion"/>
  </si>
  <si>
    <r>
      <t xml:space="preserve">첫째, </t>
    </r>
    <r>
      <rPr>
        <b/>
        <i/>
        <u/>
        <sz val="10"/>
        <color rgb="FFFF0010"/>
        <rFont val="Inherit"/>
        <family val="3"/>
        <charset val="129"/>
      </rPr>
      <t xml:space="preserve">거래량은 늘어나는데 주가가 하락하고 있다면 </t>
    </r>
    <phoneticPr fontId="1" type="noConversion"/>
  </si>
  <si>
    <r>
      <t>현재의 주식시장은 이익을 실현</t>
    </r>
    <r>
      <rPr>
        <i/>
        <sz val="10"/>
        <color rgb="FF666666"/>
        <rFont val="Times New Roman"/>
        <family val="1"/>
      </rPr>
      <t>하는 국면이다.</t>
    </r>
    <phoneticPr fontId="1" type="noConversion"/>
  </si>
  <si>
    <t>​</t>
    <phoneticPr fontId="1" type="noConversion"/>
  </si>
  <si>
    <r>
      <t xml:space="preserve">둘째, </t>
    </r>
    <r>
      <rPr>
        <b/>
        <i/>
        <u/>
        <sz val="10"/>
        <color rgb="FF0095E9"/>
        <rFont val="Inherit"/>
        <family val="3"/>
        <charset val="129"/>
      </rPr>
      <t>상승추세가 어느정도 지속되었는데,</t>
    </r>
    <r>
      <rPr>
        <i/>
        <sz val="10"/>
        <color rgb="FF666666"/>
        <rFont val="Times New Roman"/>
        <family val="1"/>
      </rPr>
      <t xml:space="preserve"> 어느 날 갑자기 </t>
    </r>
    <r>
      <rPr>
        <b/>
        <i/>
        <u/>
        <sz val="10"/>
        <color rgb="FFFF0010"/>
        <rFont val="Inherit"/>
        <family val="3"/>
        <charset val="129"/>
      </rPr>
      <t xml:space="preserve">거래량이 </t>
    </r>
    <phoneticPr fontId="1" type="noConversion"/>
  </si>
  <si>
    <r>
      <t>급격하게 늘어난다면 파동의 진행이 막바지</t>
    </r>
    <r>
      <rPr>
        <i/>
        <sz val="10"/>
        <color rgb="FF666666"/>
        <rFont val="Times New Roman"/>
        <family val="1"/>
      </rPr>
      <t>에 이르렀다는 신호이다.</t>
    </r>
    <phoneticPr fontId="1" type="noConversion"/>
  </si>
  <si>
    <r>
      <t xml:space="preserve">셋째, </t>
    </r>
    <r>
      <rPr>
        <b/>
        <i/>
        <u/>
        <sz val="10"/>
        <color rgb="FF0095E9"/>
        <rFont val="Inherit"/>
        <family val="3"/>
        <charset val="129"/>
      </rPr>
      <t xml:space="preserve">주가가 급격한 상승을 나타낸 이후, 다시 완만하나마 상승하기는 하지만 </t>
    </r>
    <phoneticPr fontId="1" type="noConversion"/>
  </si>
  <si>
    <r>
      <t>거래량이 줄어들고 있다면 강력한 반전 신호로 간주</t>
    </r>
    <r>
      <rPr>
        <i/>
        <sz val="10"/>
        <color rgb="FF666666"/>
        <rFont val="Times New Roman"/>
        <family val="1"/>
      </rPr>
      <t>해야 한다.</t>
    </r>
    <phoneticPr fontId="1" type="noConversion"/>
  </si>
  <si>
    <r>
      <t xml:space="preserve">넷째, </t>
    </r>
    <r>
      <rPr>
        <b/>
        <i/>
        <u/>
        <sz val="10"/>
        <color rgb="FFFF0010"/>
        <rFont val="Inherit"/>
        <family val="3"/>
        <charset val="129"/>
      </rPr>
      <t xml:space="preserve">주가가 재차 상승하는데도 거래량이 뒷받침 하지 않는다면 </t>
    </r>
    <phoneticPr fontId="1" type="noConversion"/>
  </si>
  <si>
    <r>
      <t>하락 추세는 지속</t>
    </r>
    <r>
      <rPr>
        <i/>
        <sz val="10"/>
        <color rgb="FF666666"/>
        <rFont val="Times New Roman"/>
        <family val="1"/>
      </rPr>
      <t>된다고 보아야 한다.</t>
    </r>
    <phoneticPr fontId="1" type="noConversion"/>
  </si>
  <si>
    <r>
      <t xml:space="preserve">다섯째, 어느 하루 주식 시장의 </t>
    </r>
    <r>
      <rPr>
        <b/>
        <i/>
        <u/>
        <sz val="10"/>
        <color rgb="FFFF0010"/>
        <rFont val="Inherit"/>
        <family val="3"/>
        <charset val="129"/>
      </rPr>
      <t xml:space="preserve">거래량이 비정상적으로 늘어났다면 </t>
    </r>
    <phoneticPr fontId="1" type="noConversion"/>
  </si>
  <si>
    <r>
      <t>파동의 진행은 클라이막스</t>
    </r>
    <r>
      <rPr>
        <i/>
        <sz val="10"/>
        <color rgb="FF666666"/>
        <rFont val="Times New Roman"/>
        <family val="1"/>
      </rPr>
      <t>에 다가섰다는 경고 신호이다.</t>
    </r>
    <phoneticPr fontId="1" type="noConversion"/>
  </si>
  <si>
    <t>코스피</t>
    <phoneticPr fontId="1" type="noConversion"/>
  </si>
  <si>
    <t>알파</t>
    <phoneticPr fontId="1" type="noConversion"/>
  </si>
  <si>
    <t>신세계</t>
    <phoneticPr fontId="1" type="noConversion"/>
  </si>
  <si>
    <t>매수</t>
    <phoneticPr fontId="1" type="noConversion"/>
  </si>
  <si>
    <t>쇼핑</t>
    <phoneticPr fontId="1" type="noConversion"/>
  </si>
  <si>
    <t>수소차</t>
    <phoneticPr fontId="1" type="noConversion"/>
  </si>
  <si>
    <t>알서포트</t>
    <phoneticPr fontId="1" type="noConversion"/>
  </si>
  <si>
    <t>화상통신</t>
    <phoneticPr fontId="1" type="noConversion"/>
  </si>
  <si>
    <t>웹젠</t>
    <phoneticPr fontId="1" type="noConversion"/>
  </si>
  <si>
    <t>목표이득</t>
    <phoneticPr fontId="1" type="noConversion"/>
  </si>
  <si>
    <t>26.02.25</t>
    <phoneticPr fontId="1" type="noConversion"/>
  </si>
  <si>
    <t>에스트래픽</t>
    <phoneticPr fontId="1" type="noConversion"/>
  </si>
  <si>
    <t>교통</t>
    <phoneticPr fontId="1" type="noConversion"/>
  </si>
  <si>
    <t>재무재표</t>
    <phoneticPr fontId="1" type="noConversion"/>
  </si>
  <si>
    <t>5~7% 수준의 짧은 박스권 매매 // 방어력은 최상이나, 단기 폭발력은 아쉬운 상태</t>
    <phoneticPr fontId="1" type="noConversion"/>
  </si>
  <si>
    <t>Soop</t>
    <phoneticPr fontId="1" type="noConversion"/>
  </si>
  <si>
    <r>
      <t>일봉 차트상 역배열에서 정배열로 전환되는 '골든크로스' 지점</t>
    </r>
    <r>
      <rPr>
        <sz val="11"/>
        <color theme="1"/>
        <rFont val="맑은 고딕"/>
        <family val="2"/>
        <charset val="129"/>
        <scheme val="minor"/>
      </rPr>
      <t>이 최고의 스윙 타점입니다.</t>
    </r>
  </si>
  <si>
    <r>
      <t>44,000원 이하</t>
    </r>
    <r>
      <rPr>
        <sz val="11"/>
        <color theme="1"/>
        <rFont val="맑은 고딕"/>
        <family val="2"/>
        <charset val="129"/>
        <scheme val="minor"/>
      </rPr>
      <t xml:space="preserve">에서 매수하여 전고점 부근인 </t>
    </r>
    <r>
      <rPr>
        <b/>
        <sz val="11"/>
        <color theme="1"/>
        <rFont val="맑은 고딕"/>
        <family val="3"/>
        <charset val="129"/>
        <scheme val="minor"/>
      </rPr>
      <t>52,000원</t>
    </r>
    <r>
      <rPr>
        <sz val="11"/>
        <color theme="1"/>
        <rFont val="맑은 고딕"/>
        <family val="2"/>
        <charset val="129"/>
        <scheme val="minor"/>
      </rPr>
      <t>을 목표로 잡는 박스권 스윙</t>
    </r>
  </si>
  <si>
    <r>
      <t>68,000원 ~ 70,000원</t>
    </r>
    <r>
      <rPr>
        <sz val="11"/>
        <color theme="1"/>
        <rFont val="맑은 고딕"/>
        <family val="2"/>
        <charset val="129"/>
        <scheme val="minor"/>
      </rPr>
      <t xml:space="preserve"> 부근 지지를 확인하며 10% 반등을 노리는 스윙이 유효</t>
    </r>
  </si>
  <si>
    <r>
      <t>일봉상 볼린저밴드 하단</t>
    </r>
    <r>
      <rPr>
        <sz val="11"/>
        <color theme="1"/>
        <rFont val="맑은 고딕"/>
        <family val="2"/>
        <charset val="129"/>
        <scheme val="minor"/>
      </rPr>
      <t>에서 사서 중심선이나 상단에서 파는 박스권 스윙 전략이 유효</t>
    </r>
  </si>
  <si>
    <t>영업이익률이 30%를 상회하는 압도적 수익성</t>
  </si>
  <si>
    <t>상승 5파 연장구간</t>
    <phoneticPr fontId="1" type="noConversion"/>
  </si>
  <si>
    <t>상승 3파 진행중</t>
    <phoneticPr fontId="1" type="noConversion"/>
  </si>
  <si>
    <t>3파 시작지점</t>
    <phoneticPr fontId="1" type="noConversion"/>
  </si>
  <si>
    <t>B</t>
    <phoneticPr fontId="1" type="noConversion"/>
  </si>
  <si>
    <t>a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</si>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</sst>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[$]m/&quot;D&quot;/yyyy;@" x16r2:formatCode16="[$-en-GM,2]m/&quot;D&quot;/yyyy;@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6"/>
      <color rgb="FFFF0010"/>
      <name val="Dotum"/>
      <family val="3"/>
    </font>
    <font>
      <b/>
      <i/>
      <u/>
      <sz val="10"/>
      <color rgb="FFFF0010"/>
      <name val="맑은 고딕"/>
      <family val="3"/>
      <charset val="129"/>
    </font>
    <font>
      <b/>
      <i/>
      <u/>
      <sz val="10"/>
      <color rgb="FFFF0010"/>
      <name val="Arial"/>
      <family val="2"/>
    </font>
    <font>
      <b/>
      <i/>
      <u/>
      <sz val="10"/>
      <color rgb="FFFF0010"/>
      <name val="Inherit"/>
      <family val="3"/>
      <charset val="129"/>
    </font>
    <font>
      <i/>
      <sz val="10"/>
      <color rgb="FF666666"/>
      <name val="Times New Roman"/>
      <family val="1"/>
    </font>
    <font>
      <b/>
      <i/>
      <u/>
      <sz val="10"/>
      <color rgb="FF0095E9"/>
      <name val="Inherit"/>
      <family val="3"/>
      <charset val="129"/>
    </font>
    <font>
      <b/>
      <sz val="6"/>
      <color theme="1"/>
      <name val="Dotum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76" fontId="0" fillId="6" borderId="0" xfId="1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/>
    </xf>
    <xf numFmtId="9" fontId="0" fillId="0" borderId="0" xfId="2" applyFont="1">
      <alignment vertical="center"/>
    </xf>
    <xf numFmtId="176" fontId="0" fillId="0" borderId="0" xfId="0" applyNumberFormat="1">
      <alignment vertical="center"/>
    </xf>
    <xf numFmtId="0" fontId="9" fillId="0" borderId="0" xfId="0" applyFont="1" applyAlignment="1">
      <alignment horizontal="left" vertical="top"/>
    </xf>
    <xf numFmtId="43" fontId="0" fillId="0" borderId="0" xfId="1" applyFo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1" xfId="0" applyFont="1" applyBorder="1">
      <alignment vertical="center"/>
    </xf>
  </cellXfs>
  <cellStyles count="3">
    <cellStyle name="백분율" xfId="2" builtinId="5"/>
    <cellStyle name="쉼표" xfId="1" builtinId="3"/>
    <cellStyle name="표준" xfId="0" builtinId="0"/>
  </cellStyles>
  <dxfs count="27"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BA305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BA305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BA305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FD8603"/>
      <color rgb="FFFF3300"/>
      <color rgb="FFFBA305"/>
      <color rgb="FFD63A2A"/>
      <color rgb="FFE831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8B31-64BA-461A-8508-07E70DC0D8B0}">
  <dimension ref="B1:L31"/>
  <sheetViews>
    <sheetView tabSelected="1" zoomScale="78" zoomScaleNormal="90" workbookViewId="0">
      <pane xSplit="2" topLeftCell="C1" activePane="topRight" state="frozen"/>
      <selection pane="topRight" activeCell="E14" sqref="E14"/>
    </sheetView>
  </sheetViews>
  <sheetFormatPr defaultRowHeight="17.399999999999999"/>
  <cols>
    <col min="2" max="2" width="19.69921875" bestFit="1" customWidth="1"/>
    <col min="3" max="3" width="8" bestFit="1" customWidth="1"/>
    <col min="4" max="4" width="8.796875" style="10" customWidth="1"/>
    <col min="5" max="6" width="8.796875" style="10" bestFit="1" customWidth="1"/>
    <col min="7" max="7" width="12.5" bestFit="1" customWidth="1"/>
    <col min="8" max="8" width="12.5" customWidth="1"/>
    <col min="9" max="9" width="11" style="1" bestFit="1" customWidth="1"/>
    <col min="10" max="10" width="11.19921875" style="1" customWidth="1"/>
    <col min="11" max="11" width="73.69921875" bestFit="1" customWidth="1"/>
    <col min="12" max="12" width="12.796875" customWidth="1"/>
    <col min="17" max="17" width="8.19921875" customWidth="1"/>
  </cols>
  <sheetData>
    <row r="1" spans="2:12">
      <c r="G1" t="s">
        <v>42</v>
      </c>
      <c r="L1" s="4" t="str">
        <f>"종목수   :  " &amp;  SUBTOTAL(103,B4:B993)</f>
        <v>종목수   :  28</v>
      </c>
    </row>
    <row r="2" spans="2:12">
      <c r="C2" s="22" t="s">
        <v>4</v>
      </c>
      <c r="D2" s="22"/>
      <c r="E2" s="22"/>
      <c r="F2" s="22"/>
      <c r="G2" s="1" t="s">
        <v>41</v>
      </c>
      <c r="H2" s="1"/>
      <c r="K2" s="12" t="s">
        <v>77</v>
      </c>
    </row>
    <row r="3" spans="2:12">
      <c r="B3" s="13" t="s">
        <v>38</v>
      </c>
      <c r="C3" s="13" t="s">
        <v>43</v>
      </c>
      <c r="D3" s="13" t="s">
        <v>0</v>
      </c>
      <c r="E3" s="13" t="s">
        <v>1</v>
      </c>
      <c r="F3" s="13" t="s">
        <v>2</v>
      </c>
      <c r="G3" s="13" t="s">
        <v>3</v>
      </c>
      <c r="H3" s="13" t="s">
        <v>80</v>
      </c>
      <c r="I3" s="13" t="s">
        <v>16</v>
      </c>
      <c r="J3" s="13" t="s">
        <v>70</v>
      </c>
      <c r="K3" s="13" t="s">
        <v>5</v>
      </c>
    </row>
    <row r="4" spans="2:12">
      <c r="B4" s="2" t="s">
        <v>17</v>
      </c>
      <c r="C4" s="2"/>
      <c r="D4" s="11">
        <v>3</v>
      </c>
      <c r="E4" s="11"/>
      <c r="F4" s="11"/>
      <c r="G4" s="2"/>
      <c r="H4" s="2">
        <v>94</v>
      </c>
      <c r="I4" s="7" t="s">
        <v>34</v>
      </c>
      <c r="J4" s="7"/>
      <c r="K4" s="2"/>
    </row>
    <row r="5" spans="2:12">
      <c r="B5" s="2" t="s">
        <v>82</v>
      </c>
      <c r="C5" s="2"/>
      <c r="D5" s="11">
        <v>3</v>
      </c>
      <c r="E5" s="11"/>
      <c r="F5" s="11"/>
      <c r="G5" s="2"/>
      <c r="H5" s="2">
        <v>93</v>
      </c>
      <c r="I5" s="7" t="s">
        <v>31</v>
      </c>
      <c r="J5" s="7"/>
      <c r="K5" s="2"/>
    </row>
    <row r="6" spans="2:12">
      <c r="B6" s="2" t="s">
        <v>75</v>
      </c>
      <c r="C6" s="2"/>
      <c r="D6" s="11">
        <v>3</v>
      </c>
      <c r="E6" s="11"/>
      <c r="F6" s="11"/>
      <c r="G6" s="2"/>
      <c r="H6" s="2">
        <v>90</v>
      </c>
      <c r="I6" s="7" t="s">
        <v>26</v>
      </c>
      <c r="J6" s="7"/>
      <c r="K6" s="2"/>
    </row>
    <row r="7" spans="2:12">
      <c r="B7" s="2" t="s">
        <v>14</v>
      </c>
      <c r="C7" s="2"/>
      <c r="D7" s="11">
        <v>3</v>
      </c>
      <c r="E7" s="11"/>
      <c r="F7" s="11"/>
      <c r="G7" s="2"/>
      <c r="H7" s="2">
        <v>88</v>
      </c>
      <c r="I7" s="7" t="s">
        <v>26</v>
      </c>
      <c r="J7" s="7"/>
      <c r="K7" s="2" t="s">
        <v>89</v>
      </c>
    </row>
    <row r="8" spans="2:12">
      <c r="B8" s="2" t="s">
        <v>10</v>
      </c>
      <c r="C8" s="2"/>
      <c r="D8" s="11">
        <v>2</v>
      </c>
      <c r="E8" s="11"/>
      <c r="F8" s="11"/>
      <c r="G8" s="2"/>
      <c r="H8" s="2">
        <v>88</v>
      </c>
      <c r="I8" s="7" t="s">
        <v>26</v>
      </c>
      <c r="J8" s="7"/>
      <c r="K8" s="2" t="s">
        <v>87</v>
      </c>
    </row>
    <row r="9" spans="2:12">
      <c r="B9" s="2" t="s">
        <v>22</v>
      </c>
      <c r="C9" s="2"/>
      <c r="D9" s="11">
        <v>1</v>
      </c>
      <c r="E9" s="11"/>
      <c r="F9" s="11"/>
      <c r="G9" s="2"/>
      <c r="H9" s="2">
        <v>85</v>
      </c>
      <c r="I9" s="7" t="s">
        <v>31</v>
      </c>
      <c r="J9" s="7"/>
      <c r="K9" s="2"/>
    </row>
    <row r="10" spans="2:12">
      <c r="B10" s="2" t="s">
        <v>13</v>
      </c>
      <c r="C10" s="2"/>
      <c r="D10" s="11">
        <v>5</v>
      </c>
      <c r="E10" s="11"/>
      <c r="F10" s="11"/>
      <c r="G10" s="2"/>
      <c r="H10" s="2">
        <v>85</v>
      </c>
      <c r="I10" s="7" t="s">
        <v>32</v>
      </c>
      <c r="J10" s="7"/>
      <c r="K10" s="2"/>
    </row>
    <row r="11" spans="2:12">
      <c r="B11" s="2" t="s">
        <v>28</v>
      </c>
      <c r="C11" s="2"/>
      <c r="D11" s="11" t="s">
        <v>93</v>
      </c>
      <c r="E11" s="11"/>
      <c r="F11" s="11"/>
      <c r="G11" s="2"/>
      <c r="H11" s="2">
        <v>84</v>
      </c>
      <c r="I11" s="7" t="s">
        <v>29</v>
      </c>
      <c r="J11" s="7"/>
      <c r="K11" s="2"/>
    </row>
    <row r="12" spans="2:12">
      <c r="B12" s="2" t="s">
        <v>12</v>
      </c>
      <c r="C12" s="2"/>
      <c r="D12" s="11" t="s">
        <v>92</v>
      </c>
      <c r="E12" s="11"/>
      <c r="F12" s="11"/>
      <c r="G12" s="2"/>
      <c r="H12" s="2">
        <v>82</v>
      </c>
      <c r="I12" s="7" t="s">
        <v>27</v>
      </c>
      <c r="J12" s="7"/>
      <c r="K12" s="2"/>
    </row>
    <row r="13" spans="2:12">
      <c r="B13" s="2" t="s">
        <v>8</v>
      </c>
      <c r="C13" s="2"/>
      <c r="D13" s="11">
        <v>2</v>
      </c>
      <c r="E13" s="11"/>
      <c r="F13" s="11"/>
      <c r="G13" s="2"/>
      <c r="H13" s="2">
        <v>82</v>
      </c>
      <c r="I13" s="7" t="s">
        <v>26</v>
      </c>
      <c r="J13" s="7"/>
      <c r="K13" s="2" t="s">
        <v>90</v>
      </c>
    </row>
    <row r="14" spans="2:12">
      <c r="B14" s="2" t="s">
        <v>9</v>
      </c>
      <c r="C14" s="2"/>
      <c r="D14" s="11" t="s">
        <v>91</v>
      </c>
      <c r="E14" s="11"/>
      <c r="F14" s="11"/>
      <c r="G14" s="2"/>
      <c r="H14" s="2">
        <v>80</v>
      </c>
      <c r="I14" s="7" t="s">
        <v>31</v>
      </c>
      <c r="J14" s="7"/>
      <c r="K14" s="2" t="s">
        <v>85</v>
      </c>
    </row>
    <row r="15" spans="2:12">
      <c r="B15" s="2" t="s">
        <v>21</v>
      </c>
      <c r="C15" s="2"/>
      <c r="D15" s="11" t="s">
        <v>93</v>
      </c>
      <c r="E15" s="11"/>
      <c r="F15" s="11"/>
      <c r="G15" s="2"/>
      <c r="H15" s="2">
        <v>78</v>
      </c>
      <c r="I15" s="7" t="s">
        <v>31</v>
      </c>
      <c r="J15" s="7"/>
      <c r="K15" s="2" t="s">
        <v>83</v>
      </c>
    </row>
    <row r="16" spans="2:12">
      <c r="B16" s="2" t="s">
        <v>45</v>
      </c>
      <c r="C16" s="2"/>
      <c r="D16" s="11">
        <v>3</v>
      </c>
      <c r="E16" s="11"/>
      <c r="F16" s="11"/>
      <c r="G16" s="2"/>
      <c r="H16" s="2">
        <v>78</v>
      </c>
      <c r="I16" s="7" t="s">
        <v>24</v>
      </c>
      <c r="J16" s="7"/>
      <c r="K16" s="2"/>
    </row>
    <row r="17" spans="2:11">
      <c r="B17" s="2" t="s">
        <v>18</v>
      </c>
      <c r="C17" s="2"/>
      <c r="D17" s="11">
        <v>2</v>
      </c>
      <c r="E17" s="11"/>
      <c r="F17" s="11"/>
      <c r="G17" s="2"/>
      <c r="H17" s="2">
        <v>78</v>
      </c>
      <c r="I17" s="7" t="s">
        <v>26</v>
      </c>
      <c r="J17" s="7"/>
      <c r="K17" s="2"/>
    </row>
    <row r="18" spans="2:11">
      <c r="B18" s="2" t="s">
        <v>39</v>
      </c>
      <c r="C18" s="2"/>
      <c r="D18" s="11" t="s">
        <v>92</v>
      </c>
      <c r="E18" s="11"/>
      <c r="F18" s="11"/>
      <c r="G18" s="2"/>
      <c r="H18" s="2">
        <v>76</v>
      </c>
      <c r="I18" s="7" t="s">
        <v>44</v>
      </c>
      <c r="J18" s="7"/>
      <c r="K18" s="24" t="s">
        <v>86</v>
      </c>
    </row>
    <row r="19" spans="2:11">
      <c r="B19" s="2" t="s">
        <v>6</v>
      </c>
      <c r="C19" s="2"/>
      <c r="D19" s="11">
        <v>5</v>
      </c>
      <c r="E19" s="11"/>
      <c r="F19" s="11"/>
      <c r="G19" s="2"/>
      <c r="H19" s="2">
        <v>75</v>
      </c>
      <c r="I19" s="7" t="s">
        <v>25</v>
      </c>
      <c r="J19" s="7"/>
      <c r="K19" s="2"/>
    </row>
    <row r="20" spans="2:11">
      <c r="B20" s="2" t="s">
        <v>15</v>
      </c>
      <c r="C20" s="2"/>
      <c r="D20" s="11">
        <v>2</v>
      </c>
      <c r="E20" s="11"/>
      <c r="F20" s="11"/>
      <c r="G20" s="2"/>
      <c r="H20" s="2">
        <v>72</v>
      </c>
      <c r="I20" s="7" t="s">
        <v>33</v>
      </c>
      <c r="J20" s="7"/>
      <c r="K20" s="2" t="s">
        <v>84</v>
      </c>
    </row>
    <row r="21" spans="2:11">
      <c r="B21" s="2" t="s">
        <v>78</v>
      </c>
      <c r="C21" s="2"/>
      <c r="D21" s="11">
        <v>3</v>
      </c>
      <c r="E21" s="11"/>
      <c r="F21" s="11"/>
      <c r="G21" s="2"/>
      <c r="H21" s="2">
        <v>72</v>
      </c>
      <c r="I21" s="7" t="s">
        <v>79</v>
      </c>
      <c r="J21" s="7"/>
      <c r="K21" s="2"/>
    </row>
    <row r="22" spans="2:11">
      <c r="B22" s="2" t="s">
        <v>23</v>
      </c>
      <c r="C22" s="2"/>
      <c r="D22" s="11">
        <v>5</v>
      </c>
      <c r="E22" s="11"/>
      <c r="F22" s="11"/>
      <c r="G22" s="2"/>
      <c r="H22" s="2">
        <v>70</v>
      </c>
      <c r="I22" s="7" t="s">
        <v>37</v>
      </c>
      <c r="J22" s="7"/>
      <c r="K22" s="2"/>
    </row>
    <row r="23" spans="2:11">
      <c r="B23" s="2" t="s">
        <v>69</v>
      </c>
      <c r="C23" s="2"/>
      <c r="D23" s="11">
        <v>5</v>
      </c>
      <c r="E23" s="11"/>
      <c r="F23" s="11"/>
      <c r="G23" s="2"/>
      <c r="H23" s="2">
        <v>68</v>
      </c>
      <c r="I23" s="7" t="s">
        <v>71</v>
      </c>
      <c r="J23" s="7"/>
      <c r="K23" s="23"/>
    </row>
    <row r="24" spans="2:11">
      <c r="B24" s="2" t="s">
        <v>11</v>
      </c>
      <c r="C24" s="2"/>
      <c r="D24" s="11" t="s">
        <v>92</v>
      </c>
      <c r="E24" s="11"/>
      <c r="F24" s="11"/>
      <c r="G24" s="2"/>
      <c r="H24" s="2">
        <v>65</v>
      </c>
      <c r="I24" s="7" t="s">
        <v>30</v>
      </c>
      <c r="J24" s="7"/>
      <c r="K24" s="2" t="s">
        <v>81</v>
      </c>
    </row>
    <row r="25" spans="2:11">
      <c r="B25" s="2" t="s">
        <v>73</v>
      </c>
      <c r="C25" s="2"/>
      <c r="D25" s="11" t="s">
        <v>92</v>
      </c>
      <c r="E25" s="11"/>
      <c r="F25" s="11"/>
      <c r="G25" s="2"/>
      <c r="H25" s="2">
        <v>65</v>
      </c>
      <c r="I25" s="7" t="s">
        <v>74</v>
      </c>
      <c r="J25" s="7"/>
      <c r="K25" s="23"/>
    </row>
    <row r="26" spans="2:11">
      <c r="B26" s="5" t="s">
        <v>20</v>
      </c>
      <c r="C26" s="5"/>
      <c r="D26" s="8">
        <v>5</v>
      </c>
      <c r="E26" s="8"/>
      <c r="F26" s="8"/>
      <c r="G26" s="8"/>
      <c r="H26" s="8">
        <v>65</v>
      </c>
      <c r="I26" s="3" t="s">
        <v>24</v>
      </c>
      <c r="J26" s="3"/>
      <c r="K26" s="6" t="s">
        <v>88</v>
      </c>
    </row>
    <row r="27" spans="2:11">
      <c r="B27" s="2" t="s">
        <v>7</v>
      </c>
      <c r="C27" s="2"/>
      <c r="D27" s="11" t="s">
        <v>93</v>
      </c>
      <c r="E27" s="11"/>
      <c r="F27" s="11"/>
      <c r="G27" s="2"/>
      <c r="H27" s="2">
        <v>60</v>
      </c>
      <c r="I27" s="7" t="s">
        <v>36</v>
      </c>
      <c r="J27" s="7"/>
      <c r="K27" s="2"/>
    </row>
    <row r="28" spans="2:11">
      <c r="B28" s="2" t="s">
        <v>47</v>
      </c>
      <c r="C28" s="2"/>
      <c r="D28" s="11" t="s">
        <v>92</v>
      </c>
      <c r="E28" s="11"/>
      <c r="F28" s="11"/>
      <c r="G28" s="2"/>
      <c r="H28" s="2">
        <v>58</v>
      </c>
      <c r="I28" s="7" t="s">
        <v>46</v>
      </c>
      <c r="J28" s="7"/>
      <c r="K28" s="2"/>
    </row>
    <row r="29" spans="2:11">
      <c r="B29" s="2" t="s">
        <v>19</v>
      </c>
      <c r="C29" s="2"/>
      <c r="D29" s="11">
        <v>5</v>
      </c>
      <c r="E29" s="11"/>
      <c r="F29" s="11"/>
      <c r="G29" s="2"/>
      <c r="H29" s="2">
        <v>55</v>
      </c>
      <c r="I29" s="7" t="s">
        <v>35</v>
      </c>
      <c r="J29" s="7"/>
      <c r="K29" s="2"/>
    </row>
    <row r="30" spans="2:11">
      <c r="B30" s="2" t="s">
        <v>48</v>
      </c>
      <c r="C30" s="2"/>
      <c r="D30" s="11" t="s">
        <v>93</v>
      </c>
      <c r="E30" s="11"/>
      <c r="F30" s="11"/>
      <c r="G30" s="2"/>
      <c r="H30" s="2">
        <v>55</v>
      </c>
      <c r="I30" s="7" t="s">
        <v>72</v>
      </c>
      <c r="J30" s="7"/>
      <c r="K30" s="2"/>
    </row>
    <row r="31" spans="2:11">
      <c r="B31" s="2" t="s">
        <v>40</v>
      </c>
      <c r="C31" s="2"/>
      <c r="D31" s="11" t="s">
        <v>93</v>
      </c>
      <c r="E31" s="11"/>
      <c r="F31" s="11"/>
      <c r="G31" s="2"/>
      <c r="H31" s="2">
        <v>40</v>
      </c>
      <c r="I31" s="7" t="s">
        <v>26</v>
      </c>
      <c r="J31" s="7"/>
      <c r="K31" s="2"/>
    </row>
  </sheetData>
  <autoFilter ref="B3:K28" xr:uid="{95DBE76E-EC4B-4218-A5DF-AA3EB8FB4C1C}">
    <sortState xmlns:xlrd2="http://schemas.microsoft.com/office/spreadsheetml/2017/richdata2" ref="B4:K31">
      <sortCondition descending="1" ref="H3:H28"/>
    </sortState>
  </autoFilter>
  <mergeCells count="1">
    <mergeCell ref="C2:F2"/>
  </mergeCells>
  <phoneticPr fontId="1" type="noConversion"/>
  <conditionalFormatting sqref="C1:F1048576">
    <cfRule type="cellIs" dxfId="17" priority="3" operator="equal">
      <formula>"c"</formula>
    </cfRule>
    <cfRule type="cellIs" dxfId="16" priority="11" operator="equal">
      <formula>"b"</formula>
    </cfRule>
    <cfRule type="cellIs" dxfId="15" priority="12" operator="equal">
      <formula>5</formula>
    </cfRule>
    <cfRule type="cellIs" dxfId="14" priority="13" operator="equal">
      <formula>3</formula>
    </cfRule>
    <cfRule type="cellIs" dxfId="13" priority="14" operator="equal">
      <formula>1</formula>
    </cfRule>
    <cfRule type="cellIs" dxfId="12" priority="15" operator="equal">
      <formula>"a"</formula>
    </cfRule>
    <cfRule type="cellIs" dxfId="11" priority="16" operator="equal">
      <formula>4</formula>
    </cfRule>
    <cfRule type="cellIs" dxfId="10" priority="17" operator="equal">
      <formula>2</formula>
    </cfRule>
  </conditionalFormatting>
  <conditionalFormatting sqref="G4:G30">
    <cfRule type="colorScale" priority="19">
      <colorScale>
        <cfvo type="min"/>
        <cfvo type="percentile" val="50"/>
        <cfvo type="max"/>
        <color rgb="FFFF0000"/>
        <color rgb="FFFFEB84"/>
        <color theme="4" tint="0.59999389629810485"/>
      </colorScale>
    </cfRule>
  </conditionalFormatting>
  <conditionalFormatting sqref="M4">
    <cfRule type="cellIs" dxfId="9" priority="18" operator="between">
      <formula>1</formula>
      <formula>3</formula>
    </cfRule>
  </conditionalFormatting>
  <conditionalFormatting sqref="H4:H31">
    <cfRule type="colorScale" priority="1">
      <colorScale>
        <cfvo type="percentile" val="10"/>
        <cfvo type="percentile" val="90"/>
        <color rgb="FF00B0F0"/>
        <color rgb="FFFD8603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3FCC-9AB1-4858-8024-58792A8BA9CC}">
  <dimension ref="A1:L27"/>
  <sheetViews>
    <sheetView workbookViewId="0">
      <selection activeCell="I31" sqref="I31"/>
    </sheetView>
  </sheetViews>
  <sheetFormatPr defaultRowHeight="17.399999999999999"/>
  <cols>
    <col min="3" max="3" width="14.59765625" style="9" bestFit="1" customWidth="1"/>
    <col min="4" max="4" width="11.796875" style="9" bestFit="1" customWidth="1"/>
    <col min="5" max="7" width="11.796875" style="9" customWidth="1"/>
    <col min="8" max="8" width="13.5" style="9" bestFit="1" customWidth="1"/>
    <col min="11" max="11" width="10.796875" bestFit="1" customWidth="1"/>
  </cols>
  <sheetData>
    <row r="1" spans="1:12">
      <c r="D1"/>
      <c r="E1"/>
      <c r="F1"/>
      <c r="G1"/>
    </row>
    <row r="2" spans="1:12">
      <c r="D2"/>
      <c r="E2"/>
      <c r="F2"/>
      <c r="G2"/>
    </row>
    <row r="3" spans="1:12">
      <c r="C3" s="15" t="s">
        <v>51</v>
      </c>
      <c r="D3" s="14" t="s">
        <v>76</v>
      </c>
      <c r="E3" s="14" t="s">
        <v>55</v>
      </c>
      <c r="F3" s="14" t="s">
        <v>67</v>
      </c>
      <c r="G3" s="14" t="s">
        <v>68</v>
      </c>
      <c r="H3" s="15" t="s">
        <v>49</v>
      </c>
      <c r="I3" s="14" t="s">
        <v>50</v>
      </c>
    </row>
    <row r="4" spans="1:12">
      <c r="A4">
        <v>2020</v>
      </c>
      <c r="B4">
        <v>8</v>
      </c>
      <c r="D4" s="9">
        <f t="shared" ref="D4:D5" si="0">E4- H4</f>
        <v>-4000000</v>
      </c>
      <c r="F4" s="9">
        <v>2360.06</v>
      </c>
      <c r="G4" s="9">
        <v>100</v>
      </c>
      <c r="H4" s="9">
        <v>4000000</v>
      </c>
      <c r="I4" s="18">
        <f>E4/H4</f>
        <v>0</v>
      </c>
      <c r="L4" s="17" t="s">
        <v>52</v>
      </c>
    </row>
    <row r="5" spans="1:12">
      <c r="B5">
        <v>9</v>
      </c>
      <c r="D5" s="9">
        <f t="shared" si="0"/>
        <v>0</v>
      </c>
      <c r="F5" s="9">
        <v>2408.73</v>
      </c>
      <c r="G5" s="21">
        <f>F5/F4</f>
        <v>1.020622357058719</v>
      </c>
      <c r="H5" s="9">
        <f>IF(G5 &gt;= 1,G5 * 1.5,G5 * 1.3)*E4+(C5-C4)</f>
        <v>0</v>
      </c>
      <c r="I5" s="18" t="e">
        <f t="shared" ref="I5:I27" si="1">E5/H5</f>
        <v>#DIV/0!</v>
      </c>
      <c r="K5" s="19"/>
    </row>
    <row r="6" spans="1:12">
      <c r="B6">
        <v>10</v>
      </c>
      <c r="D6" s="9">
        <f>E6- H6</f>
        <v>0</v>
      </c>
      <c r="F6" s="9">
        <v>2352</v>
      </c>
      <c r="G6" s="21">
        <f t="shared" ref="G6:G27" si="2">F6/F5</f>
        <v>0.97644816978241644</v>
      </c>
      <c r="H6" s="9">
        <f t="shared" ref="H6:H27" si="3">IF(G6 &gt;= 1,G6 * 1.5,G6 * 1.3)*E5+(C6-C5)</f>
        <v>0</v>
      </c>
      <c r="I6" s="18" t="e">
        <f t="shared" si="1"/>
        <v>#DIV/0!</v>
      </c>
      <c r="K6" s="19"/>
      <c r="L6" s="17" t="s">
        <v>54</v>
      </c>
    </row>
    <row r="7" spans="1:12">
      <c r="B7">
        <v>11</v>
      </c>
      <c r="D7" s="9">
        <f t="shared" ref="D7:D27" si="4">E7- H7</f>
        <v>0</v>
      </c>
      <c r="F7" s="9">
        <v>2352</v>
      </c>
      <c r="G7" s="21">
        <f t="shared" si="2"/>
        <v>1</v>
      </c>
      <c r="H7" s="9">
        <f t="shared" si="3"/>
        <v>0</v>
      </c>
      <c r="I7" s="18" t="e">
        <f t="shared" si="1"/>
        <v>#DIV/0!</v>
      </c>
      <c r="K7" s="19"/>
      <c r="L7" s="16"/>
    </row>
    <row r="8" spans="1:12">
      <c r="B8">
        <v>12</v>
      </c>
      <c r="D8" s="9">
        <f t="shared" si="4"/>
        <v>0</v>
      </c>
      <c r="F8" s="9">
        <v>2596</v>
      </c>
      <c r="G8" s="21">
        <f t="shared" si="2"/>
        <v>1.1037414965986394</v>
      </c>
      <c r="H8" s="9">
        <f t="shared" si="3"/>
        <v>0</v>
      </c>
      <c r="I8" s="18" t="e">
        <f t="shared" si="1"/>
        <v>#DIV/0!</v>
      </c>
      <c r="K8" s="19"/>
      <c r="L8" s="17" t="s">
        <v>53</v>
      </c>
    </row>
    <row r="9" spans="1:12">
      <c r="A9">
        <v>2021</v>
      </c>
      <c r="B9">
        <v>1</v>
      </c>
      <c r="D9" s="9">
        <f t="shared" si="4"/>
        <v>0</v>
      </c>
      <c r="G9" s="21">
        <f t="shared" si="2"/>
        <v>0</v>
      </c>
      <c r="H9" s="9">
        <f t="shared" si="3"/>
        <v>0</v>
      </c>
      <c r="I9" s="18" t="e">
        <f t="shared" si="1"/>
        <v>#DIV/0!</v>
      </c>
      <c r="K9" s="19"/>
    </row>
    <row r="10" spans="1:12">
      <c r="B10">
        <v>2</v>
      </c>
      <c r="D10" s="9" t="e">
        <f t="shared" si="4"/>
        <v>#DIV/0!</v>
      </c>
      <c r="G10" s="21" t="e">
        <f t="shared" si="2"/>
        <v>#DIV/0!</v>
      </c>
      <c r="H10" s="9" t="e">
        <f t="shared" si="3"/>
        <v>#DIV/0!</v>
      </c>
      <c r="I10" s="18" t="e">
        <f t="shared" si="1"/>
        <v>#DIV/0!</v>
      </c>
      <c r="K10" s="19"/>
    </row>
    <row r="11" spans="1:12">
      <c r="A11">
        <v>2026</v>
      </c>
      <c r="B11">
        <v>3</v>
      </c>
      <c r="D11" s="9" t="e">
        <f t="shared" si="4"/>
        <v>#DIV/0!</v>
      </c>
      <c r="F11" s="9">
        <v>6083</v>
      </c>
      <c r="G11" s="21" t="e">
        <f t="shared" si="2"/>
        <v>#DIV/0!</v>
      </c>
      <c r="H11" s="9" t="e">
        <f t="shared" si="3"/>
        <v>#DIV/0!</v>
      </c>
      <c r="I11" s="18" t="e">
        <f t="shared" si="1"/>
        <v>#DIV/0!</v>
      </c>
      <c r="K11" s="19"/>
    </row>
    <row r="12" spans="1:12">
      <c r="B12">
        <v>4</v>
      </c>
      <c r="D12" s="9">
        <f t="shared" si="4"/>
        <v>0</v>
      </c>
      <c r="G12" s="21">
        <f t="shared" si="2"/>
        <v>0</v>
      </c>
      <c r="H12" s="9">
        <f t="shared" si="3"/>
        <v>0</v>
      </c>
      <c r="I12" s="18" t="e">
        <f t="shared" si="1"/>
        <v>#DIV/0!</v>
      </c>
      <c r="K12" s="19"/>
    </row>
    <row r="13" spans="1:12">
      <c r="B13">
        <v>5</v>
      </c>
      <c r="D13" s="9" t="e">
        <f t="shared" si="4"/>
        <v>#DIV/0!</v>
      </c>
      <c r="G13" s="21" t="e">
        <f t="shared" si="2"/>
        <v>#DIV/0!</v>
      </c>
      <c r="H13" s="9" t="e">
        <f t="shared" si="3"/>
        <v>#DIV/0!</v>
      </c>
      <c r="I13" s="18" t="e">
        <f t="shared" si="1"/>
        <v>#DIV/0!</v>
      </c>
      <c r="K13" s="19"/>
      <c r="L13" s="17" t="s">
        <v>56</v>
      </c>
    </row>
    <row r="14" spans="1:12">
      <c r="B14">
        <v>6</v>
      </c>
      <c r="D14" s="9" t="e">
        <f t="shared" si="4"/>
        <v>#DIV/0!</v>
      </c>
      <c r="G14" s="21" t="e">
        <f t="shared" si="2"/>
        <v>#DIV/0!</v>
      </c>
      <c r="H14" s="9" t="e">
        <f t="shared" si="3"/>
        <v>#DIV/0!</v>
      </c>
      <c r="I14" s="18" t="e">
        <f t="shared" si="1"/>
        <v>#DIV/0!</v>
      </c>
      <c r="K14" s="19"/>
      <c r="L14" s="17" t="s">
        <v>57</v>
      </c>
    </row>
    <row r="15" spans="1:12">
      <c r="B15">
        <v>7</v>
      </c>
      <c r="D15" s="9" t="e">
        <f t="shared" si="4"/>
        <v>#DIV/0!</v>
      </c>
      <c r="G15" s="21" t="e">
        <f t="shared" si="2"/>
        <v>#DIV/0!</v>
      </c>
      <c r="H15" s="9" t="e">
        <f t="shared" si="3"/>
        <v>#DIV/0!</v>
      </c>
      <c r="I15" s="18" t="e">
        <f t="shared" si="1"/>
        <v>#DIV/0!</v>
      </c>
      <c r="K15" s="19"/>
      <c r="L15" s="17" t="s">
        <v>58</v>
      </c>
    </row>
    <row r="16" spans="1:12">
      <c r="B16">
        <v>8</v>
      </c>
      <c r="D16" s="9" t="e">
        <f t="shared" si="4"/>
        <v>#DIV/0!</v>
      </c>
      <c r="G16" s="21" t="e">
        <f t="shared" si="2"/>
        <v>#DIV/0!</v>
      </c>
      <c r="H16" s="9" t="e">
        <f t="shared" si="3"/>
        <v>#DIV/0!</v>
      </c>
      <c r="I16" s="18" t="e">
        <f t="shared" si="1"/>
        <v>#DIV/0!</v>
      </c>
      <c r="K16" s="19"/>
      <c r="L16" s="17" t="s">
        <v>59</v>
      </c>
    </row>
    <row r="17" spans="2:12">
      <c r="B17">
        <v>9</v>
      </c>
      <c r="D17" s="9" t="e">
        <f t="shared" si="4"/>
        <v>#DIV/0!</v>
      </c>
      <c r="G17" s="21" t="e">
        <f t="shared" si="2"/>
        <v>#DIV/0!</v>
      </c>
      <c r="H17" s="9" t="e">
        <f t="shared" si="3"/>
        <v>#DIV/0!</v>
      </c>
      <c r="I17" s="18" t="e">
        <f t="shared" si="1"/>
        <v>#DIV/0!</v>
      </c>
      <c r="K17" s="19"/>
      <c r="L17" s="17" t="s">
        <v>60</v>
      </c>
    </row>
    <row r="18" spans="2:12">
      <c r="B18">
        <v>10</v>
      </c>
      <c r="D18" s="9" t="e">
        <f t="shared" si="4"/>
        <v>#DIV/0!</v>
      </c>
      <c r="G18" s="21" t="e">
        <f t="shared" si="2"/>
        <v>#DIV/0!</v>
      </c>
      <c r="H18" s="9" t="e">
        <f t="shared" si="3"/>
        <v>#DIV/0!</v>
      </c>
      <c r="I18" s="18" t="e">
        <f t="shared" si="1"/>
        <v>#DIV/0!</v>
      </c>
      <c r="K18" s="19"/>
      <c r="L18" s="17" t="s">
        <v>58</v>
      </c>
    </row>
    <row r="19" spans="2:12">
      <c r="B19">
        <v>11</v>
      </c>
      <c r="D19" s="9" t="e">
        <f t="shared" si="4"/>
        <v>#DIV/0!</v>
      </c>
      <c r="G19" s="21" t="e">
        <f t="shared" si="2"/>
        <v>#DIV/0!</v>
      </c>
      <c r="H19" s="9" t="e">
        <f t="shared" si="3"/>
        <v>#DIV/0!</v>
      </c>
      <c r="I19" s="18" t="e">
        <f t="shared" si="1"/>
        <v>#DIV/0!</v>
      </c>
      <c r="K19" s="19"/>
      <c r="L19" s="17" t="s">
        <v>61</v>
      </c>
    </row>
    <row r="20" spans="2:12">
      <c r="B20">
        <v>12</v>
      </c>
      <c r="D20" s="9" t="e">
        <f t="shared" si="4"/>
        <v>#DIV/0!</v>
      </c>
      <c r="G20" s="21" t="e">
        <f t="shared" si="2"/>
        <v>#DIV/0!</v>
      </c>
      <c r="H20" s="9" t="e">
        <f t="shared" si="3"/>
        <v>#DIV/0!</v>
      </c>
      <c r="I20" s="18" t="e">
        <f t="shared" si="1"/>
        <v>#DIV/0!</v>
      </c>
      <c r="K20" s="19"/>
      <c r="L20" s="17" t="s">
        <v>62</v>
      </c>
    </row>
    <row r="21" spans="2:12">
      <c r="B21">
        <v>1</v>
      </c>
      <c r="D21" s="9" t="e">
        <f t="shared" si="4"/>
        <v>#DIV/0!</v>
      </c>
      <c r="G21" s="21" t="e">
        <f t="shared" si="2"/>
        <v>#DIV/0!</v>
      </c>
      <c r="H21" s="9" t="e">
        <f t="shared" si="3"/>
        <v>#DIV/0!</v>
      </c>
      <c r="I21" s="18" t="e">
        <f t="shared" si="1"/>
        <v>#DIV/0!</v>
      </c>
      <c r="K21" s="19"/>
      <c r="L21" s="17" t="s">
        <v>58</v>
      </c>
    </row>
    <row r="22" spans="2:12">
      <c r="B22">
        <v>2</v>
      </c>
      <c r="D22" s="9" t="e">
        <f t="shared" si="4"/>
        <v>#DIV/0!</v>
      </c>
      <c r="G22" s="21" t="e">
        <f t="shared" si="2"/>
        <v>#DIV/0!</v>
      </c>
      <c r="H22" s="9" t="e">
        <f t="shared" si="3"/>
        <v>#DIV/0!</v>
      </c>
      <c r="I22" s="18" t="e">
        <f t="shared" si="1"/>
        <v>#DIV/0!</v>
      </c>
      <c r="K22" s="19"/>
      <c r="L22" s="17" t="s">
        <v>63</v>
      </c>
    </row>
    <row r="23" spans="2:12">
      <c r="B23">
        <v>3</v>
      </c>
      <c r="D23" s="9" t="e">
        <f t="shared" si="4"/>
        <v>#DIV/0!</v>
      </c>
      <c r="G23" s="21" t="e">
        <f t="shared" si="2"/>
        <v>#DIV/0!</v>
      </c>
      <c r="H23" s="9" t="e">
        <f t="shared" si="3"/>
        <v>#DIV/0!</v>
      </c>
      <c r="I23" s="18" t="e">
        <f t="shared" si="1"/>
        <v>#DIV/0!</v>
      </c>
      <c r="K23" s="19"/>
      <c r="L23" s="17" t="s">
        <v>64</v>
      </c>
    </row>
    <row r="24" spans="2:12">
      <c r="B24">
        <v>4</v>
      </c>
      <c r="D24" s="9" t="e">
        <f t="shared" si="4"/>
        <v>#DIV/0!</v>
      </c>
      <c r="G24" s="21" t="e">
        <f t="shared" si="2"/>
        <v>#DIV/0!</v>
      </c>
      <c r="H24" s="9" t="e">
        <f t="shared" si="3"/>
        <v>#DIV/0!</v>
      </c>
      <c r="I24" s="18" t="e">
        <f t="shared" si="1"/>
        <v>#DIV/0!</v>
      </c>
      <c r="K24" s="19"/>
      <c r="L24" s="17" t="s">
        <v>58</v>
      </c>
    </row>
    <row r="25" spans="2:12">
      <c r="B25">
        <v>5</v>
      </c>
      <c r="D25" s="9" t="e">
        <f t="shared" si="4"/>
        <v>#DIV/0!</v>
      </c>
      <c r="G25" s="21" t="e">
        <f t="shared" si="2"/>
        <v>#DIV/0!</v>
      </c>
      <c r="H25" s="9" t="e">
        <f t="shared" si="3"/>
        <v>#DIV/0!</v>
      </c>
      <c r="I25" s="18" t="e">
        <f t="shared" si="1"/>
        <v>#DIV/0!</v>
      </c>
      <c r="K25" s="19"/>
      <c r="L25" s="17" t="s">
        <v>65</v>
      </c>
    </row>
    <row r="26" spans="2:12">
      <c r="B26">
        <v>6</v>
      </c>
      <c r="D26" s="9" t="e">
        <f t="shared" si="4"/>
        <v>#DIV/0!</v>
      </c>
      <c r="G26" s="21" t="e">
        <f t="shared" si="2"/>
        <v>#DIV/0!</v>
      </c>
      <c r="H26" s="9" t="e">
        <f t="shared" si="3"/>
        <v>#DIV/0!</v>
      </c>
      <c r="I26" s="18" t="e">
        <f t="shared" si="1"/>
        <v>#DIV/0!</v>
      </c>
      <c r="K26" s="19"/>
      <c r="L26" s="17" t="s">
        <v>66</v>
      </c>
    </row>
    <row r="27" spans="2:12">
      <c r="B27">
        <v>7</v>
      </c>
      <c r="D27" s="9" t="e">
        <f t="shared" si="4"/>
        <v>#DIV/0!</v>
      </c>
      <c r="G27" s="21" t="e">
        <f t="shared" si="2"/>
        <v>#DIV/0!</v>
      </c>
      <c r="H27" s="9" t="e">
        <f t="shared" si="3"/>
        <v>#DIV/0!</v>
      </c>
      <c r="I27" s="18" t="e">
        <f t="shared" si="1"/>
        <v>#DIV/0!</v>
      </c>
      <c r="K27" s="19"/>
      <c r="L27" s="20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69E3-9710-4885-BA59-1D73BC15D8F7}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엘리어트</vt:lpstr>
      <vt:lpstr>목표</vt:lpstr>
      <vt:lpstr>ETN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youngwhan bae</dc:creator>
  <cp:lastModifiedBy>User</cp:lastModifiedBy>
  <dcterms:created xsi:type="dcterms:W3CDTF">2020-07-29T01:17:44Z</dcterms:created>
  <dcterms:modified xsi:type="dcterms:W3CDTF">2026-02-25T07:55:53Z</dcterms:modified>
</cp:coreProperties>
</file>